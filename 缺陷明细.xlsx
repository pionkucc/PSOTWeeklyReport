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63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Sheet1!$A$1:$AF$19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<sst xmlns="http://schemas.openxmlformats.org/spreadsheetml/2006/main" count="382" uniqueCount="130">
  <si>
    <t>登记时间</t>
  </si>
  <si>
    <t>任务分类</t>
  </si>
  <si>
    <t>关联任务项</t>
  </si>
  <si>
    <t>缺陷编号</t>
  </si>
  <si>
    <t>产品线</t>
  </si>
  <si>
    <t>产品模块</t>
  </si>
  <si>
    <t>缺陷状态</t>
  </si>
  <si>
    <t>缺陷摘要</t>
  </si>
  <si>
    <t>优先级</t>
  </si>
  <si>
    <t>登记人</t>
  </si>
  <si>
    <t>处理人员</t>
  </si>
  <si>
    <t>修复时间</t>
  </si>
  <si>
    <t>关闭时间</t>
  </si>
  <si>
    <t>发现阶段</t>
  </si>
  <si>
    <t>引入阶段</t>
  </si>
  <si>
    <t>引入原因</t>
  </si>
  <si>
    <t>缺陷来源</t>
  </si>
  <si>
    <t>返工次数</t>
  </si>
  <si>
    <t>严重程度</t>
  </si>
  <si>
    <t>缺陷类型</t>
  </si>
  <si>
    <t>缺陷修复周期(天)</t>
  </si>
  <si>
    <t>缺陷关闭周期(天)</t>
  </si>
  <si>
    <t>2026-05-25 ~ 2026-05-29</t>
  </si>
  <si>
    <t>迭代十三</t>
  </si>
  <si>
    <t>迭代优化</t>
  </si>
  <si>
    <t>NL-B-172713</t>
  </si>
  <si>
    <t>福州研究院/业务中台/产品标准化运营工具</t>
  </si>
  <si>
    <t>研效工具库/产品需求列表</t>
  </si>
  <si>
    <t>Closed</t>
  </si>
  <si>
    <t>【商品构成】产品线必填未生效</t>
  </si>
  <si>
    <t>中</t>
  </si>
  <si>
    <t>邱钰洁</t>
  </si>
  <si>
    <t>王邦城</t>
  </si>
  <si>
    <t>2.1-系统测试【基本流】</t>
  </si>
  <si>
    <t>C-软件编码</t>
  </si>
  <si>
    <t>C4-逻辑错误</t>
  </si>
  <si>
    <t>研发过程</t>
  </si>
  <si>
    <t>轻微</t>
  </si>
  <si>
    <t>8-输入校验</t>
  </si>
  <si>
    <t>导入导出</t>
  </si>
  <si>
    <t>NL-B-173312</t>
  </si>
  <si>
    <t>New</t>
  </si>
  <si>
    <t>【导入】【属性库】非生产态属性组的名称也被导入</t>
  </si>
  <si>
    <t>刘陈明</t>
  </si>
  <si>
    <t>一般</t>
  </si>
  <si>
    <t>5-数据丢失或错误</t>
  </si>
  <si>
    <t>/</t>
  </si>
  <si>
    <t>ppt在线编辑</t>
  </si>
  <si>
    <t>NL-B-172710</t>
  </si>
  <si>
    <t>【在线PPT】一码_产品分类.xlsx字体样式调整</t>
  </si>
  <si>
    <t>C7-旧有程序问题</t>
  </si>
  <si>
    <t>6-操作界面</t>
  </si>
  <si>
    <t>历史问题/关联影响</t>
  </si>
  <si>
    <t>NL-B-172947</t>
  </si>
  <si>
    <t>元数据视图/产商品类目树</t>
  </si>
  <si>
    <t>【元数据视图】产品信息图、产商品类目树的查询重置按钮丢失</t>
  </si>
  <si>
    <t>4.1-回归测试【基本流】</t>
  </si>
  <si>
    <t>C6-资源获取和释放问题</t>
  </si>
  <si>
    <t>NL-B-172944</t>
  </si>
  <si>
    <t>【浏览器缓存】不同环境登录相同账号，会触发“重新加载站点”提示</t>
  </si>
  <si>
    <t>陈智伟A</t>
  </si>
  <si>
    <t>4.2-回归测试【备选流】</t>
  </si>
  <si>
    <t>29-其它</t>
  </si>
  <si>
    <t>NL-B-173213</t>
  </si>
  <si>
    <t>ReOpen</t>
  </si>
  <si>
    <t>【导出】导出超时</t>
  </si>
  <si>
    <t>C3-性能问题</t>
  </si>
  <si>
    <t>2-性能问题</t>
  </si>
  <si>
    <t>NL-B-172711</t>
  </si>
  <si>
    <t>【导出】【一码_商品】商品线6个层级，导出数据多了个null</t>
  </si>
  <si>
    <t>戴海涛</t>
  </si>
  <si>
    <t>NL-B-172948</t>
  </si>
  <si>
    <t>【产品需求列表】创建时间未显示</t>
  </si>
  <si>
    <t>NL-B-172700</t>
  </si>
  <si>
    <t>【导入】【规则库_销售规则】规则未与生产态数据做反向校验，不存在的规则不允许导入</t>
  </si>
  <si>
    <t>高</t>
  </si>
  <si>
    <t>陈珍桂</t>
  </si>
  <si>
    <t>较高</t>
  </si>
  <si>
    <t>NL-B-172950</t>
  </si>
  <si>
    <t>【在线PPT】导出ppt失败</t>
  </si>
  <si>
    <t>D-软件测试</t>
  </si>
  <si>
    <t>D5-测试环境错误</t>
  </si>
  <si>
    <t>3-功能不可用</t>
  </si>
  <si>
    <t>NL-B-172712</t>
  </si>
  <si>
    <t>【动作库】动作库，节点名称未必填</t>
  </si>
  <si>
    <t>NL-B-172945</t>
  </si>
  <si>
    <t>【导出】导出下载特别慢，性能慢，exportRequirementDocument耗时34.76s，一个商品泉州-网络运维服务包</t>
  </si>
  <si>
    <t>NL-B-172952</t>
  </si>
  <si>
    <t>【属性库】复用属性组性能优化</t>
  </si>
  <si>
    <t>王荣坡</t>
  </si>
  <si>
    <t>NL-B-172698</t>
  </si>
  <si>
    <t>【导出】【一码_商品定价详情】某商品拥有多个定价时，定价详情导出数据不完整</t>
  </si>
  <si>
    <t>NL-B-172709</t>
  </si>
  <si>
    <t>【在线PPT】一码_产品分类.xlsx改造类型样式没有</t>
  </si>
  <si>
    <t>NL-B-172708</t>
  </si>
  <si>
    <t>【在线PPT】一码_商品定价清单.xlsx内容错误</t>
  </si>
  <si>
    <t>NL-B-172946</t>
  </si>
  <si>
    <t>【产品一码】商品线为空时，不展示“-”</t>
  </si>
  <si>
    <t>NL-B-172949</t>
  </si>
  <si>
    <t>【需求采编】新增商品后，商品的排列顺序随机，倒叙排列</t>
  </si>
  <si>
    <t>C20-代码未拉平（新变更）</t>
  </si>
  <si>
    <t>序号</t>
  </si>
  <si>
    <t>周期</t>
  </si>
  <si>
    <t>任务项名称</t>
  </si>
  <si>
    <t>子任务项（个）</t>
  </si>
  <si>
    <t>测试进度</t>
  </si>
  <si>
    <t>回归进度</t>
  </si>
  <si>
    <t>缺陷总数</t>
  </si>
  <si>
    <t>New（个）</t>
  </si>
  <si>
    <t>Fixed（个）</t>
  </si>
  <si>
    <t>Pending（个）</t>
  </si>
  <si>
    <t>Closed（个）</t>
  </si>
  <si>
    <t>ReOpen（个）</t>
  </si>
  <si>
    <t>关联缺陷</t>
  </si>
  <si>
    <r>
      <t>NL-B-172710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NL-B-172950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NL-B-172709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NL-B-172708</t>
    </r>
  </si>
  <si>
    <r>
      <t>NL-B-173312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NL-B-173213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NL-B-172711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NL-B-172700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NL-B-172945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NL-B-172698</t>
    </r>
  </si>
  <si>
    <t>AI反向数据剔除</t>
  </si>
  <si>
    <r>
      <t>NL-B-172713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NL-B-172946</t>
    </r>
  </si>
  <si>
    <t>合计</t>
  </si>
  <si>
    <t>标题</t>
  </si>
  <si>
    <t>内容</t>
  </si>
  <si>
    <t>本周测试概况</t>
  </si>
  <si>
    <r>
      <t>本周提测功能为</t>
    </r>
    <r>
      <rPr>
        <b/>
        <sz val="11"/>
        <color theme="1"/>
        <rFont val="宋体"/>
        <charset val="134"/>
        <scheme val="minor"/>
      </rPr>
      <t>[ppt在线编辑]、[导入导出]、[迭代优化]、[AI反向数据剔除]</t>
    </r>
    <r>
      <rPr>
        <sz val="11"/>
        <color theme="1"/>
        <rFont val="宋体"/>
        <charset val="134"/>
        <scheme val="minor"/>
      </rPr>
      <t>，测试总进度为</t>
    </r>
    <r>
      <rPr>
        <b/>
        <sz val="11"/>
        <color rgb="FFFF0000"/>
        <rFont val="宋体"/>
        <charset val="134"/>
        <scheme val="minor"/>
      </rPr>
      <t>100%</t>
    </r>
    <r>
      <rPr>
        <sz val="11"/>
        <color theme="1"/>
        <rFont val="宋体"/>
        <charset val="134"/>
        <scheme val="minor"/>
      </rPr>
      <t>，回归总进度90%。
本周新增缺陷总数</t>
    </r>
    <r>
      <rPr>
        <b/>
        <sz val="11"/>
        <color rgb="FFFF0000"/>
        <rFont val="宋体"/>
        <charset val="134"/>
        <scheme val="minor"/>
      </rPr>
      <t>18个</t>
    </r>
    <r>
      <rPr>
        <sz val="11"/>
        <color theme="1"/>
        <rFont val="宋体"/>
        <charset val="134"/>
        <scheme val="minor"/>
      </rPr>
      <t>，已关闭1</t>
    </r>
    <r>
      <rPr>
        <b/>
        <sz val="11"/>
        <color rgb="FFFF0000"/>
        <rFont val="宋体"/>
        <charset val="134"/>
        <scheme val="minor"/>
      </rPr>
      <t>3个</t>
    </r>
    <r>
      <rPr>
        <sz val="11"/>
        <color theme="1"/>
        <rFont val="宋体"/>
        <charset val="134"/>
        <scheme val="minor"/>
      </rPr>
      <t>，待修复</t>
    </r>
    <r>
      <rPr>
        <b/>
        <sz val="11"/>
        <color rgb="FFFF0000"/>
        <rFont val="宋体"/>
        <charset val="134"/>
        <scheme val="minor"/>
      </rPr>
      <t>3个</t>
    </r>
    <r>
      <rPr>
        <sz val="11"/>
        <color theme="1"/>
        <rFont val="宋体"/>
        <charset val="134"/>
        <scheme val="minor"/>
      </rPr>
      <t>，待验证</t>
    </r>
    <r>
      <rPr>
        <b/>
        <sz val="11"/>
        <color rgb="FFFF0000"/>
        <rFont val="宋体"/>
        <charset val="134"/>
        <scheme val="minor"/>
      </rPr>
      <t>0个</t>
    </r>
    <r>
      <rPr>
        <sz val="11"/>
        <color theme="1"/>
        <rFont val="宋体"/>
        <charset val="134"/>
        <scheme val="minor"/>
      </rPr>
      <t>，延期</t>
    </r>
    <r>
      <rPr>
        <b/>
        <sz val="11"/>
        <color rgb="FFFF0000"/>
        <rFont val="宋体"/>
        <charset val="134"/>
        <scheme val="minor"/>
      </rPr>
      <t>0个</t>
    </r>
    <r>
      <rPr>
        <sz val="11"/>
        <color theme="1"/>
        <rFont val="宋体"/>
        <charset val="134"/>
        <scheme val="minor"/>
      </rPr>
      <t>，重新打开</t>
    </r>
    <r>
      <rPr>
        <b/>
        <sz val="11"/>
        <color rgb="FFFF0000"/>
        <rFont val="宋体"/>
        <charset val="134"/>
        <scheme val="minor"/>
      </rPr>
      <t>2个</t>
    </r>
    <r>
      <rPr>
        <sz val="11"/>
        <color theme="1"/>
        <rFont val="宋体"/>
        <charset val="134"/>
        <scheme val="minor"/>
      </rPr>
      <t>。</t>
    </r>
  </si>
  <si>
    <t>测试进度和缺陷统计</t>
  </si>
  <si>
    <t>待协调事项</t>
  </si>
  <si>
    <t>&lt;p&gt;1、遗留缺陷 &lt;span style="color: #fd4f4f;"&gt;&lt;strong&gt;5 个&lt;/strong&gt;&lt;/span&gt;，其中 2 个超期 3 天以上未处理&lt;span style="color: #fd4f4f; background-color: #f8cac6;"&gt;&lt;strong&gt;开发修复效率较低。&lt;/strong&gt;&lt;/span&gt;&amp;mdash;&amp;mdash;请 PM 及时跟进。&lt;/p&gt;
&lt;p&gt;2、&lt;strong&gt;【规则反向数据同步验证】&lt;/strong&gt;遗留问题：&lt;/p&gt;
&lt;p style="padding-left: 40px;"&gt;1）运营指标 - 前置取数 -- 规则&lt;strong&gt;未开发 &lt;/strong&gt;&lt;/p&gt;
&lt;p style="padding-left: 40px;"&gt;2）所有同步接口 opType:DELETE -- 删除的场景&lt;strong&gt;未验证&lt;/strong&gt;。&lt;/p&gt;
&lt;p&gt;❗规则反馈&lt;strong&gt;【运营指标 - 前置取数同步接口】二期&lt;/strong&gt;上线 &amp;mdash;&amp;mdash;请 PM 及时跟进。&lt;/p&gt;
&lt;p&gt;3、&lt;strong&gt;回归环境&lt;/strong&gt;多个中心的&lt;strong&gt;反向数据&lt;span style="color: #fd4f4f;"&gt;未同步&lt;/span&gt;：&lt;/strong&gt;&lt;/p&gt;
&lt;p style="padding-left: 40px;"&gt;1）规则中心&lt;/p&gt;
&lt;p style="padding-left: 40px;"&gt;2）产商品中心&lt;/p&gt;
&lt;p&gt;❗导致回归验证&lt;strong&gt;不全面&lt;/strong&gt;。&amp;mdash;&amp;mdash;请 PM 及时跟进。&lt;/p&gt;
&lt;hr /&gt;
&lt;table style="border-collapse: collapse; width: 63.629%; height: 88px; background-color: #ecf0f1; border-color: #7E8C8D; border-style: solid;" border="1" cellspacing="0"&gt;
&lt;tbody&gt;
&lt;tr style="height: 44px;"&gt;
&lt;th style="width: 19.805%; height: 44px;"&gt;开始时间&lt;/th&gt;
&lt;th style="width: 19.805%; height: 44px;"&gt;结束时间&lt;/th&gt;
&lt;th style="width: 11.7407%; height: 44px;"&gt;执行时长(秒)&lt;/th&gt;
&lt;th style="width: 6.13811%; height: 44px;"&gt;用例数&lt;/th&gt;
&lt;th style="width: 6.13811%; height: 44px;"&gt;通过数&lt;/th&gt;
&lt;th style="width: 6.13811%; height: 44px;"&gt;失败数&lt;/th&gt;
&lt;th style="width: 8.18414%; height: 44px;"&gt;未执行数&lt;/th&gt;
&lt;th style="width: 8.21345%; height: 44px;"&gt;通过率&lt;/th&gt;
&lt;/tr&gt;
&lt;tr style="height: 44px;"&gt;
&lt;th style="width: 19.805%; height: 44px;"&gt;2025-07-11 08:30:05&lt;/th&gt;
&lt;th style="width: 19.805%; height: 44px;"&gt;2025-07-11 08:31:37&lt;/th&gt;
&lt;th style="width: 11.7407%; height: 44px;"&gt;92&lt;/th&gt;
&lt;th style="width: 6.13811%; height: 44px;"&gt;44&lt;/th&gt;
&lt;th style="width: 6.13811%; height: 44px;"&gt;44&lt;/th&gt;
&lt;th style="width: 6.13811%; height: 44px;"&gt;0&lt;/th&gt;
&lt;th style="width: 8.18414%; height: 44px;"&gt;0&lt;/th&gt;
&lt;th style="width: 8.21345%; height: 44px;"&gt;100.00%&lt;br /&gt;&lt;br /&gt;&lt;/th&gt;
&lt;/tr&gt;
&lt;/tbody&gt;
&lt;/table&gt;</t>
  </si>
  <si>
    <t>PSOT-UI自动化建设</t>
  </si>
  <si>
    <t>&lt;p&gt;&lt;strong&gt;完成场景数15/70，自动化执行成功80%，下周计划：继续推进。&lt;/strong&gt;&lt;/p&gt;
&lt;ul&gt;
&lt;li&gt;&lt;strong&gt;测试资源投入：&lt;/strong&gt;&lt;br /&gt;邱钰洁：本周计划完成100%&lt;br /&gt;叶怡馨：本周计划完成10%，&lt;strong&gt;因需求上线紧张无法投入&lt;/strong&gt;&lt;br /&gt;陈彦均：本周计划完成100%&lt;/li&gt;
&lt;/ul&gt;
&lt;hr /&gt;
&lt;table style="width: 76.0781%; height: 88px;" border="1" cellspacing="0"&gt;
&lt;tbody&gt;
&lt;tr style="height: 44px;"&gt;
&lt;th style="width: 12.8606%; height: 44px;"&gt;开始时间&lt;/th&gt;
&lt;th style="width: 10.8764%; height: 44px;"&gt;结束时间&lt;/th&gt;
&lt;th style="width: 11.75%; height: 44px;"&gt;执行时长(秒)&lt;/th&gt;
&lt;th style="width: 9.10002%; height: 44px;"&gt;用例数&lt;/th&gt;
&lt;th style="width: 10.6699%; height: 44px;"&gt;通开始过数&lt;/th&gt;
&lt;th style="width: 10.2165%; height: 44px;"&gt;失败数&lt;/th&gt;
&lt;th style="width: 8.42128%; height: 44px;"&gt;未执行数&lt;/th&gt;
&lt;th style="width: 12.2679%; height: 44px;"&gt;通过率&lt;/th&gt;
&lt;/tr&gt;
&lt;tr style="height: 44px;"&gt;
&lt;th style="width: 12.8606%; height: 44px;"&gt;2025-07-11 08:30:05&lt;/th&gt;
&lt;th style="width: 10.8764%; height: 44px;"&gt;2025-07-11 08:31:37&lt;/th&gt;
&lt;th style="width: 11.75%; height: 44px;"&gt;92&lt;/th&gt;
&lt;th style="width: 9.10002%; height: 44px;"&gt;44&lt;/th&gt;
&lt;th style="width: 10.6699%; height: 44px;"&gt;44&lt;/th&gt;
&lt;th style="width: 10.2165%; height: 44px;"&gt;0&lt;/th&gt;
&lt;th style="width: 8.42128%; height: 44px;"&gt;0&lt;/th&gt;
&lt;th style="width: 12.2679%; height: 44px;"&gt;100.00%&lt;br /&gt;&lt;br /&gt;&lt;/th&gt;
&lt;/tr&gt;
&lt;/tbody&gt;
&lt;/table&gt;</t>
  </si>
  <si>
    <t>下周测试计划</t>
  </si>
  <si>
    <t>完成回归测试和缺陷的复测。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</si>
</sst>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yyyy/m/d\ h:mm:ss;@"/>
  </numFmts>
  <fonts count="28">
    <font>
      <sz val="11"/>
      <color theme="1"/>
      <name val="宋体"/>
      <charset val="134"/>
      <scheme val="minor"/>
    </font>
    <font>
      <b/>
      <sz val="10"/>
      <color rgb="FF00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0"/>
      <color rgb="FF000000"/>
      <name val="宋体"/>
      <charset val="134"/>
    </font>
    <font>
      <b/>
      <sz val="10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2" borderId="4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5">
      <alignment vertical="center"/>
    </xf>
    <xf numFmtId="0" fontId="13" fillId="0" borderId="5">
      <alignment vertical="center"/>
    </xf>
    <xf numFmtId="0" fontId="14" fillId="0" borderId="6">
      <alignment vertical="center"/>
    </xf>
    <xf numFmtId="0" fontId="14" fillId="0" borderId="0">
      <alignment vertical="center"/>
    </xf>
    <xf numFmtId="0" fontId="15" fillId="3" borderId="7">
      <alignment vertical="center"/>
    </xf>
    <xf numFmtId="0" fontId="16" fillId="4" borderId="8">
      <alignment vertical="center"/>
    </xf>
    <xf numFmtId="0" fontId="17" fillId="4" borderId="7">
      <alignment vertical="center"/>
    </xf>
    <xf numFmtId="0" fontId="18" fillId="5" borderId="9">
      <alignment vertical="center"/>
    </xf>
    <xf numFmtId="0" fontId="19" fillId="0" borderId="10">
      <alignment vertical="center"/>
    </xf>
    <xf numFmtId="0" fontId="20" fillId="0" borderId="11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23">
    <xf numFmtId="0" fontId="0" fillId="0" borderId="0" xfId="0" applyAlignment="1">
      <alignment vertical="center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176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2" fillId="0" borderId="0" xfId="0" applyFont="1">
      <alignment vertical="center"/>
    </xf>
    <xf numFmtId="0" fontId="6" fillId="0" borderId="1" xfId="0" applyFont="1" applyBorder="1" applyAlignment="1"/>
    <xf numFmtId="177" fontId="6" fillId="0" borderId="1" xfId="0" applyNumberFormat="1" applyFont="1" applyBorder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F19"/>
  <sheetViews>
    <sheetView tabSelected="1" topLeftCell="E1" workbookViewId="0">
      <selection activeCell="L28" sqref="L28"/>
    </sheetView>
  </sheetViews>
  <sheetFormatPr defaultColWidth="9" defaultRowHeight="14"/>
  <cols>
    <col min="1" max="1" width="24" customWidth="1"/>
    <col min="2" max="2" width="15.5454545454545" customWidth="1"/>
    <col min="3" max="3" width="19.1818181818182" customWidth="1"/>
    <col min="4" max="4" width="16.7272727272727" customWidth="1"/>
    <col min="5" max="5" width="18.5454545454545" customWidth="1"/>
    <col min="8" max="8" width="21.0909090909091" customWidth="1"/>
    <col min="12" max="12" width="21.7272727272727" customWidth="1"/>
    <col min="13" max="13" width="22" customWidth="1"/>
    <col min="14" max="14" width="18.3636363636364" customWidth="1"/>
    <col min="15" max="15" width="17.9090909090909" customWidth="1"/>
    <col min="16" max="16" width="18.8181818181818" customWidth="1"/>
    <col min="17" max="17" width="18.1818181818182" customWidth="1"/>
  </cols>
  <sheetData>
    <row r="1" ht="15" spans="1:32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0</v>
      </c>
      <c r="M1" s="14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20</v>
      </c>
      <c r="W1" s="14" t="s">
        <v>21</v>
      </c>
    </row>
    <row r="2" ht="15" hidden="1" spans="1:32">
      <c r="A2" s="10" t="s">
        <v>22</v>
      </c>
      <c r="B2" s="10" t="s">
        <v>23</v>
      </c>
      <c r="C2" s="15" t="s">
        <v>24</v>
      </c>
      <c r="D2" s="16" t="s">
        <v>25</v>
      </c>
      <c r="E2" s="16" t="s">
        <v>26</v>
      </c>
      <c r="F2" s="16" t="s">
        <v>27</v>
      </c>
      <c r="G2" s="16" t="s">
        <v>28</v>
      </c>
      <c r="H2" s="16" t="s">
        <v>29</v>
      </c>
      <c r="I2" s="16" t="s">
        <v>30</v>
      </c>
      <c r="J2" s="16" t="s">
        <v>31</v>
      </c>
      <c r="K2" s="16" t="s">
        <v>32</v>
      </c>
      <c r="L2" s="17">
        <v>46167.8951388889</v>
      </c>
      <c r="M2" s="17">
        <v>46168.4104166667</v>
      </c>
      <c r="N2" s="17">
        <v>46168.8763888889</v>
      </c>
      <c r="O2" s="16" t="s">
        <v>33</v>
      </c>
      <c r="P2" s="16" t="s">
        <v>34</v>
      </c>
      <c r="Q2" s="16" t="s">
        <v>35</v>
      </c>
      <c r="R2" s="16" t="s">
        <v>36</v>
      </c>
      <c r="S2" s="16">
        <v>0</v>
      </c>
      <c r="T2" s="16" t="s">
        <v>37</v>
      </c>
      <c r="U2" s="16" t="s">
        <v>38</v>
      </c>
      <c r="V2" s="18">
        <v>0.52</v>
      </c>
      <c r="W2" s="19">
        <v>0.98</v>
      </c>
      <c r="X2" s="20"/>
      <c r="Y2" s="20"/>
      <c r="Z2" s="20"/>
      <c r="AA2" s="20"/>
      <c r="AB2" s="20"/>
      <c r="AC2" s="20"/>
      <c r="AD2" s="20"/>
      <c r="AE2" s="20"/>
      <c r="AF2" s="20"/>
    </row>
    <row r="3" ht="15" spans="1:32">
      <c r="A3" s="10" t="s">
        <v>22</v>
      </c>
      <c r="B3" s="10" t="s">
        <v>23</v>
      </c>
      <c r="C3" s="15" t="s">
        <v>39</v>
      </c>
      <c r="D3" s="16" t="s">
        <v>40</v>
      </c>
      <c r="E3" s="16" t="s">
        <v>26</v>
      </c>
      <c r="F3" s="16" t="s">
        <v>27</v>
      </c>
      <c r="G3" s="16" t="s">
        <v>41</v>
      </c>
      <c r="H3" s="16" t="s">
        <v>42</v>
      </c>
      <c r="I3" s="16" t="s">
        <v>30</v>
      </c>
      <c r="J3" s="16" t="s">
        <v>31</v>
      </c>
      <c r="K3" s="16" t="s">
        <v>43</v>
      </c>
      <c r="L3" s="17">
        <v>46171.6798611111</v>
      </c>
      <c r="M3" s="21"/>
      <c r="N3" s="21"/>
      <c r="O3" s="16" t="s">
        <v>33</v>
      </c>
      <c r="P3" s="21"/>
      <c r="Q3" s="21"/>
      <c r="R3" s="16" t="s">
        <v>36</v>
      </c>
      <c r="S3" s="16">
        <v>0</v>
      </c>
      <c r="T3" s="16" t="s">
        <v>44</v>
      </c>
      <c r="U3" s="16" t="s">
        <v>45</v>
      </c>
      <c r="V3" s="16" t="s">
        <v>46</v>
      </c>
      <c r="W3" s="16" t="s">
        <v>46</v>
      </c>
      <c r="X3" s="20"/>
      <c r="Y3" s="20"/>
      <c r="Z3" s="20"/>
      <c r="AA3" s="20"/>
      <c r="AB3" s="20"/>
      <c r="AC3" s="20"/>
      <c r="AD3" s="20"/>
      <c r="AE3" s="20"/>
      <c r="AF3" s="20"/>
    </row>
    <row r="4" ht="15" hidden="1" spans="1:32">
      <c r="A4" s="10" t="s">
        <v>22</v>
      </c>
      <c r="B4" s="10" t="s">
        <v>23</v>
      </c>
      <c r="C4" s="15" t="s">
        <v>47</v>
      </c>
      <c r="D4" s="16" t="s">
        <v>48</v>
      </c>
      <c r="E4" s="16" t="s">
        <v>26</v>
      </c>
      <c r="F4" s="16" t="s">
        <v>27</v>
      </c>
      <c r="G4" s="16" t="s">
        <v>28</v>
      </c>
      <c r="H4" s="16" t="s">
        <v>49</v>
      </c>
      <c r="I4" s="16" t="s">
        <v>30</v>
      </c>
      <c r="J4" s="16" t="s">
        <v>31</v>
      </c>
      <c r="K4" s="16" t="s">
        <v>43</v>
      </c>
      <c r="L4" s="17">
        <v>46167.8805555556</v>
      </c>
      <c r="M4" s="17">
        <v>46169.7916666667</v>
      </c>
      <c r="N4" s="17">
        <v>46171.3743055556</v>
      </c>
      <c r="O4" s="16" t="s">
        <v>33</v>
      </c>
      <c r="P4" s="21" t="s">
        <v>34</v>
      </c>
      <c r="Q4" s="21" t="s">
        <v>50</v>
      </c>
      <c r="R4" s="16" t="s">
        <v>36</v>
      </c>
      <c r="S4" s="16">
        <v>1</v>
      </c>
      <c r="T4" s="16" t="s">
        <v>37</v>
      </c>
      <c r="U4" s="16" t="s">
        <v>51</v>
      </c>
      <c r="V4" s="18">
        <v>1.91</v>
      </c>
      <c r="W4" s="19">
        <v>3.49</v>
      </c>
      <c r="X4" s="20"/>
      <c r="Y4" s="20"/>
      <c r="Z4" s="20"/>
      <c r="AA4" s="20"/>
      <c r="AB4" s="20"/>
      <c r="AC4" s="20"/>
      <c r="AD4" s="20"/>
      <c r="AE4" s="20"/>
      <c r="AF4" s="20"/>
    </row>
    <row r="5" ht="15" hidden="1" spans="1:32">
      <c r="A5" s="10" t="s">
        <v>22</v>
      </c>
      <c r="B5" s="10" t="s">
        <v>23</v>
      </c>
      <c r="C5" s="15" t="s">
        <v>52</v>
      </c>
      <c r="D5" s="16" t="s">
        <v>53</v>
      </c>
      <c r="E5" s="16" t="s">
        <v>26</v>
      </c>
      <c r="F5" s="16" t="s">
        <v>54</v>
      </c>
      <c r="G5" s="16" t="s">
        <v>28</v>
      </c>
      <c r="H5" s="16" t="s">
        <v>55</v>
      </c>
      <c r="I5" s="16" t="s">
        <v>30</v>
      </c>
      <c r="J5" s="16" t="s">
        <v>31</v>
      </c>
      <c r="K5" s="16" t="s">
        <v>32</v>
      </c>
      <c r="L5" s="17">
        <v>46169.7583333333</v>
      </c>
      <c r="M5" s="17">
        <v>46171.3895833333</v>
      </c>
      <c r="N5" s="17">
        <v>46171.7298611111</v>
      </c>
      <c r="O5" s="16" t="s">
        <v>56</v>
      </c>
      <c r="P5" s="21" t="s">
        <v>34</v>
      </c>
      <c r="Q5" s="21" t="s">
        <v>57</v>
      </c>
      <c r="R5" s="16" t="s">
        <v>36</v>
      </c>
      <c r="S5" s="16">
        <v>0</v>
      </c>
      <c r="T5" s="16" t="s">
        <v>37</v>
      </c>
      <c r="U5" s="16" t="s">
        <v>51</v>
      </c>
      <c r="V5" s="18">
        <v>1.63</v>
      </c>
      <c r="W5" s="19">
        <v>1.97</v>
      </c>
      <c r="X5" s="20"/>
      <c r="Y5" s="20"/>
      <c r="Z5" s="20"/>
      <c r="AA5" s="20"/>
      <c r="AB5" s="20"/>
      <c r="AC5" s="20"/>
      <c r="AD5" s="20"/>
      <c r="AE5" s="20"/>
      <c r="AF5" s="20"/>
    </row>
    <row r="6" ht="15" hidden="1" spans="1:32">
      <c r="A6" s="10" t="s">
        <v>22</v>
      </c>
      <c r="B6" s="10" t="s">
        <v>23</v>
      </c>
      <c r="C6" s="15" t="s">
        <v>52</v>
      </c>
      <c r="D6" s="16" t="s">
        <v>58</v>
      </c>
      <c r="E6" s="16" t="s">
        <v>26</v>
      </c>
      <c r="F6" s="16" t="s">
        <v>27</v>
      </c>
      <c r="G6" s="16" t="s">
        <v>28</v>
      </c>
      <c r="H6" s="16" t="s">
        <v>59</v>
      </c>
      <c r="I6" s="16" t="s">
        <v>30</v>
      </c>
      <c r="J6" s="16" t="s">
        <v>31</v>
      </c>
      <c r="K6" s="16" t="s">
        <v>60</v>
      </c>
      <c r="L6" s="17">
        <v>46169.7486111111</v>
      </c>
      <c r="M6" s="17">
        <v>46170.7138888889</v>
      </c>
      <c r="N6" s="17">
        <v>46171.7319444444</v>
      </c>
      <c r="O6" s="16" t="s">
        <v>61</v>
      </c>
      <c r="P6" s="21" t="s">
        <v>34</v>
      </c>
      <c r="Q6" s="21" t="s">
        <v>35</v>
      </c>
      <c r="R6" s="16" t="s">
        <v>36</v>
      </c>
      <c r="S6" s="16">
        <v>0</v>
      </c>
      <c r="T6" s="16" t="s">
        <v>37</v>
      </c>
      <c r="U6" s="16" t="s">
        <v>62</v>
      </c>
      <c r="V6" s="18">
        <v>0.97</v>
      </c>
      <c r="W6" s="19">
        <v>1.98</v>
      </c>
      <c r="X6" s="20"/>
      <c r="Y6" s="20"/>
      <c r="Z6" s="20"/>
      <c r="AA6" s="20"/>
      <c r="AB6" s="20"/>
      <c r="AC6" s="20"/>
      <c r="AD6" s="20"/>
      <c r="AE6" s="20"/>
      <c r="AF6" s="20"/>
    </row>
    <row r="7" ht="15" spans="1:32">
      <c r="A7" s="10" t="s">
        <v>22</v>
      </c>
      <c r="B7" s="10" t="s">
        <v>23</v>
      </c>
      <c r="C7" s="15" t="s">
        <v>39</v>
      </c>
      <c r="D7" s="16" t="s">
        <v>63</v>
      </c>
      <c r="E7" s="16" t="s">
        <v>26</v>
      </c>
      <c r="F7" s="16" t="s">
        <v>27</v>
      </c>
      <c r="G7" s="16" t="s">
        <v>64</v>
      </c>
      <c r="H7" s="16" t="s">
        <v>65</v>
      </c>
      <c r="I7" s="16" t="s">
        <v>30</v>
      </c>
      <c r="J7" s="16" t="s">
        <v>31</v>
      </c>
      <c r="K7" s="16" t="s">
        <v>43</v>
      </c>
      <c r="L7" s="17">
        <v>46171.3729166667</v>
      </c>
      <c r="M7" s="22">
        <v>46171.6421875</v>
      </c>
      <c r="N7" s="21"/>
      <c r="O7" s="16" t="s">
        <v>33</v>
      </c>
      <c r="P7" s="21" t="s">
        <v>34</v>
      </c>
      <c r="Q7" s="16" t="s">
        <v>66</v>
      </c>
      <c r="R7" s="16" t="s">
        <v>36</v>
      </c>
      <c r="S7" s="16">
        <v>1</v>
      </c>
      <c r="T7" s="16" t="s">
        <v>44</v>
      </c>
      <c r="U7" s="16" t="s">
        <v>67</v>
      </c>
      <c r="V7" s="18">
        <v>0.27</v>
      </c>
      <c r="W7" s="16" t="s">
        <v>46</v>
      </c>
      <c r="X7" s="20"/>
      <c r="Y7" s="20"/>
      <c r="Z7" s="20"/>
      <c r="AA7" s="20"/>
      <c r="AB7" s="20"/>
      <c r="AC7" s="20"/>
      <c r="AD7" s="20"/>
      <c r="AE7" s="20"/>
      <c r="AF7" s="20"/>
    </row>
    <row r="8" ht="15" hidden="1" spans="1:32">
      <c r="A8" s="10" t="s">
        <v>22</v>
      </c>
      <c r="B8" s="10" t="s">
        <v>23</v>
      </c>
      <c r="C8" s="15" t="s">
        <v>39</v>
      </c>
      <c r="D8" s="16" t="s">
        <v>68</v>
      </c>
      <c r="E8" s="16" t="s">
        <v>26</v>
      </c>
      <c r="F8" s="16" t="s">
        <v>27</v>
      </c>
      <c r="G8" s="16" t="s">
        <v>28</v>
      </c>
      <c r="H8" s="16" t="s">
        <v>69</v>
      </c>
      <c r="I8" s="16" t="s">
        <v>30</v>
      </c>
      <c r="J8" s="16" t="s">
        <v>31</v>
      </c>
      <c r="K8" s="16" t="s">
        <v>70</v>
      </c>
      <c r="L8" s="17">
        <v>46167.8826388889</v>
      </c>
      <c r="M8" s="17">
        <v>46170.6472222222</v>
      </c>
      <c r="N8" s="17">
        <v>46171.7319444444</v>
      </c>
      <c r="O8" s="16" t="s">
        <v>33</v>
      </c>
      <c r="P8" s="16" t="s">
        <v>34</v>
      </c>
      <c r="Q8" s="16" t="s">
        <v>35</v>
      </c>
      <c r="R8" s="16" t="s">
        <v>36</v>
      </c>
      <c r="S8" s="16">
        <v>1</v>
      </c>
      <c r="T8" s="16" t="s">
        <v>44</v>
      </c>
      <c r="U8" s="16" t="s">
        <v>45</v>
      </c>
      <c r="V8" s="18">
        <v>2.76</v>
      </c>
      <c r="W8" s="19">
        <v>3.85</v>
      </c>
      <c r="X8" s="20"/>
      <c r="Y8" s="20"/>
      <c r="Z8" s="20"/>
      <c r="AA8" s="20"/>
      <c r="AB8" s="20"/>
      <c r="AC8" s="20"/>
      <c r="AD8" s="20"/>
      <c r="AE8" s="20"/>
      <c r="AF8" s="20"/>
    </row>
    <row r="9" ht="15" hidden="1" spans="1:32">
      <c r="A9" s="10" t="s">
        <v>22</v>
      </c>
      <c r="B9" s="10" t="s">
        <v>23</v>
      </c>
      <c r="C9" s="15" t="s">
        <v>52</v>
      </c>
      <c r="D9" s="16" t="s">
        <v>71</v>
      </c>
      <c r="E9" s="16" t="s">
        <v>26</v>
      </c>
      <c r="F9" s="16" t="s">
        <v>27</v>
      </c>
      <c r="G9" s="16" t="s">
        <v>28</v>
      </c>
      <c r="H9" s="16" t="s">
        <v>72</v>
      </c>
      <c r="I9" s="16" t="s">
        <v>30</v>
      </c>
      <c r="J9" s="16" t="s">
        <v>31</v>
      </c>
      <c r="K9" s="16" t="s">
        <v>32</v>
      </c>
      <c r="L9" s="17">
        <v>46169.7625</v>
      </c>
      <c r="M9" s="17">
        <v>46170.4013888889</v>
      </c>
      <c r="N9" s="17">
        <v>46171.3680555556</v>
      </c>
      <c r="O9" s="16" t="s">
        <v>33</v>
      </c>
      <c r="P9" s="16" t="s">
        <v>34</v>
      </c>
      <c r="Q9" s="16" t="s">
        <v>50</v>
      </c>
      <c r="R9" s="16" t="s">
        <v>36</v>
      </c>
      <c r="S9" s="16">
        <v>0</v>
      </c>
      <c r="T9" s="16" t="s">
        <v>37</v>
      </c>
      <c r="U9" s="16" t="s">
        <v>51</v>
      </c>
      <c r="V9" s="18">
        <v>0.64</v>
      </c>
      <c r="W9" s="19">
        <v>1.61</v>
      </c>
      <c r="X9" s="20"/>
      <c r="Y9" s="20"/>
      <c r="Z9" s="20"/>
      <c r="AA9" s="20"/>
      <c r="AB9" s="20"/>
      <c r="AC9" s="20"/>
      <c r="AD9" s="20"/>
      <c r="AE9" s="20"/>
      <c r="AF9" s="20"/>
    </row>
    <row r="10" ht="15" hidden="1" spans="1:32">
      <c r="A10" s="10" t="s">
        <v>22</v>
      </c>
      <c r="B10" s="10" t="s">
        <v>23</v>
      </c>
      <c r="C10" s="15" t="s">
        <v>39</v>
      </c>
      <c r="D10" s="16" t="s">
        <v>73</v>
      </c>
      <c r="E10" s="16" t="s">
        <v>26</v>
      </c>
      <c r="F10" s="16" t="s">
        <v>27</v>
      </c>
      <c r="G10" s="16" t="s">
        <v>28</v>
      </c>
      <c r="H10" s="16" t="s">
        <v>74</v>
      </c>
      <c r="I10" s="16" t="s">
        <v>75</v>
      </c>
      <c r="J10" s="16" t="s">
        <v>31</v>
      </c>
      <c r="K10" s="16" t="s">
        <v>76</v>
      </c>
      <c r="L10" s="17">
        <v>46167.7875</v>
      </c>
      <c r="M10" s="17">
        <v>46169.9152777778</v>
      </c>
      <c r="N10" s="17">
        <v>46171.3743055556</v>
      </c>
      <c r="O10" s="16" t="s">
        <v>61</v>
      </c>
      <c r="P10" s="16" t="s">
        <v>34</v>
      </c>
      <c r="Q10" s="16" t="s">
        <v>50</v>
      </c>
      <c r="R10" s="16" t="s">
        <v>36</v>
      </c>
      <c r="S10" s="16">
        <v>0</v>
      </c>
      <c r="T10" s="16" t="s">
        <v>77</v>
      </c>
      <c r="U10" s="16" t="s">
        <v>38</v>
      </c>
      <c r="V10" s="18">
        <v>2.13</v>
      </c>
      <c r="W10" s="19">
        <v>3.59</v>
      </c>
      <c r="X10" s="20"/>
      <c r="Y10" s="20"/>
      <c r="Z10" s="20"/>
      <c r="AA10" s="20"/>
      <c r="AB10" s="20"/>
      <c r="AC10" s="20"/>
      <c r="AD10" s="20"/>
      <c r="AE10" s="20"/>
      <c r="AF10" s="20"/>
    </row>
    <row r="11" ht="15" hidden="1" spans="1:32">
      <c r="A11" s="10" t="s">
        <v>22</v>
      </c>
      <c r="B11" s="10" t="s">
        <v>23</v>
      </c>
      <c r="C11" s="15" t="s">
        <v>47</v>
      </c>
      <c r="D11" s="16" t="s">
        <v>78</v>
      </c>
      <c r="E11" s="16" t="s">
        <v>26</v>
      </c>
      <c r="F11" s="16" t="s">
        <v>27</v>
      </c>
      <c r="G11" s="16" t="s">
        <v>28</v>
      </c>
      <c r="H11" s="16" t="s">
        <v>79</v>
      </c>
      <c r="I11" s="16" t="s">
        <v>30</v>
      </c>
      <c r="J11" s="16" t="s">
        <v>31</v>
      </c>
      <c r="K11" s="16" t="s">
        <v>76</v>
      </c>
      <c r="L11" s="17">
        <v>46169.7652777778</v>
      </c>
      <c r="M11" s="17">
        <v>46170.7368055556</v>
      </c>
      <c r="N11" s="17">
        <v>46171.3673611111</v>
      </c>
      <c r="O11" s="16" t="s">
        <v>33</v>
      </c>
      <c r="P11" s="16" t="s">
        <v>80</v>
      </c>
      <c r="Q11" s="16" t="s">
        <v>81</v>
      </c>
      <c r="R11" s="16" t="s">
        <v>36</v>
      </c>
      <c r="S11" s="16">
        <v>0</v>
      </c>
      <c r="T11" s="16" t="s">
        <v>77</v>
      </c>
      <c r="U11" s="16" t="s">
        <v>82</v>
      </c>
      <c r="V11" s="18">
        <v>0.97</v>
      </c>
      <c r="W11" s="19">
        <v>1.6</v>
      </c>
      <c r="X11" s="20"/>
      <c r="Y11" s="20"/>
      <c r="Z11" s="20"/>
      <c r="AA11" s="20"/>
      <c r="AB11" s="20"/>
      <c r="AC11" s="20"/>
      <c r="AD11" s="20"/>
      <c r="AE11" s="20"/>
      <c r="AF11" s="20"/>
    </row>
    <row r="12" ht="15" hidden="1" spans="1:32">
      <c r="A12" s="10" t="s">
        <v>22</v>
      </c>
      <c r="B12" s="10" t="s">
        <v>23</v>
      </c>
      <c r="C12" s="15" t="s">
        <v>52</v>
      </c>
      <c r="D12" s="16" t="s">
        <v>83</v>
      </c>
      <c r="E12" s="16" t="s">
        <v>26</v>
      </c>
      <c r="F12" s="16" t="s">
        <v>27</v>
      </c>
      <c r="G12" s="16" t="s">
        <v>28</v>
      </c>
      <c r="H12" s="16" t="s">
        <v>84</v>
      </c>
      <c r="I12" s="16" t="s">
        <v>30</v>
      </c>
      <c r="J12" s="16" t="s">
        <v>31</v>
      </c>
      <c r="K12" s="16" t="s">
        <v>60</v>
      </c>
      <c r="L12" s="17">
        <v>46167.8888888889</v>
      </c>
      <c r="M12" s="17">
        <v>46169.7041666667</v>
      </c>
      <c r="N12" s="17">
        <v>46169.7256944444</v>
      </c>
      <c r="O12" s="16" t="s">
        <v>33</v>
      </c>
      <c r="P12" s="16" t="s">
        <v>34</v>
      </c>
      <c r="Q12" s="16" t="s">
        <v>50</v>
      </c>
      <c r="R12" s="16" t="s">
        <v>36</v>
      </c>
      <c r="S12" s="16">
        <v>0</v>
      </c>
      <c r="T12" s="16" t="s">
        <v>37</v>
      </c>
      <c r="U12" s="16" t="s">
        <v>38</v>
      </c>
      <c r="V12" s="18">
        <v>1.82</v>
      </c>
      <c r="W12" s="19">
        <v>1.84</v>
      </c>
      <c r="X12" s="20"/>
      <c r="Y12" s="20"/>
      <c r="Z12" s="20"/>
      <c r="AA12" s="20"/>
      <c r="AB12" s="20"/>
      <c r="AC12" s="20"/>
      <c r="AD12" s="20"/>
      <c r="AE12" s="20"/>
      <c r="AF12" s="20"/>
    </row>
    <row r="13" ht="15" spans="1:32">
      <c r="A13" s="10" t="s">
        <v>22</v>
      </c>
      <c r="B13" s="10" t="s">
        <v>23</v>
      </c>
      <c r="C13" s="15" t="s">
        <v>39</v>
      </c>
      <c r="D13" s="16" t="s">
        <v>85</v>
      </c>
      <c r="E13" s="16" t="s">
        <v>26</v>
      </c>
      <c r="F13" s="16" t="s">
        <v>27</v>
      </c>
      <c r="G13" s="16" t="s">
        <v>41</v>
      </c>
      <c r="H13" s="16" t="s">
        <v>86</v>
      </c>
      <c r="I13" s="16" t="s">
        <v>30</v>
      </c>
      <c r="J13" s="16" t="s">
        <v>31</v>
      </c>
      <c r="K13" s="16" t="s">
        <v>43</v>
      </c>
      <c r="L13" s="17">
        <v>46169.7506944444</v>
      </c>
      <c r="M13" s="21"/>
      <c r="N13" s="21"/>
      <c r="O13" s="16" t="s">
        <v>56</v>
      </c>
      <c r="P13" s="16"/>
      <c r="Q13" s="16"/>
      <c r="R13" s="16" t="s">
        <v>36</v>
      </c>
      <c r="S13" s="16">
        <v>0</v>
      </c>
      <c r="T13" s="16" t="s">
        <v>44</v>
      </c>
      <c r="U13" s="16" t="s">
        <v>67</v>
      </c>
      <c r="V13" s="16" t="s">
        <v>46</v>
      </c>
      <c r="W13" s="16" t="s">
        <v>46</v>
      </c>
      <c r="X13" s="20"/>
      <c r="Y13" s="20"/>
      <c r="Z13" s="20"/>
      <c r="AA13" s="20"/>
      <c r="AB13" s="20"/>
      <c r="AC13" s="20"/>
      <c r="AD13" s="20"/>
      <c r="AE13" s="20"/>
      <c r="AF13" s="20"/>
    </row>
    <row r="14" ht="15" spans="1:32">
      <c r="A14" s="10" t="s">
        <v>22</v>
      </c>
      <c r="B14" s="10" t="s">
        <v>23</v>
      </c>
      <c r="C14" s="15" t="s">
        <v>52</v>
      </c>
      <c r="D14" s="16" t="s">
        <v>87</v>
      </c>
      <c r="E14" s="16" t="s">
        <v>26</v>
      </c>
      <c r="F14" s="16" t="s">
        <v>27</v>
      </c>
      <c r="G14" s="16" t="s">
        <v>41</v>
      </c>
      <c r="H14" s="16" t="s">
        <v>88</v>
      </c>
      <c r="I14" s="16" t="s">
        <v>30</v>
      </c>
      <c r="J14" s="16" t="s">
        <v>31</v>
      </c>
      <c r="K14" s="16" t="s">
        <v>89</v>
      </c>
      <c r="L14" s="17">
        <v>46169.78125</v>
      </c>
      <c r="M14" s="21"/>
      <c r="N14" s="21"/>
      <c r="O14" s="16" t="s">
        <v>33</v>
      </c>
      <c r="P14" s="16"/>
      <c r="Q14" s="16"/>
      <c r="R14" s="16" t="s">
        <v>36</v>
      </c>
      <c r="S14" s="16">
        <v>0</v>
      </c>
      <c r="T14" s="16" t="s">
        <v>44</v>
      </c>
      <c r="U14" s="16" t="s">
        <v>67</v>
      </c>
      <c r="V14" s="16" t="s">
        <v>46</v>
      </c>
      <c r="W14" s="16" t="s">
        <v>46</v>
      </c>
      <c r="X14" s="20"/>
      <c r="Y14" s="20"/>
      <c r="Z14" s="20"/>
      <c r="AA14" s="20"/>
      <c r="AB14" s="20"/>
      <c r="AC14" s="20"/>
      <c r="AD14" s="20"/>
      <c r="AE14" s="20"/>
      <c r="AF14" s="20"/>
    </row>
    <row r="15" ht="15" hidden="1" spans="1:32">
      <c r="A15" s="10" t="s">
        <v>22</v>
      </c>
      <c r="B15" s="10" t="s">
        <v>23</v>
      </c>
      <c r="C15" s="15" t="s">
        <v>39</v>
      </c>
      <c r="D15" s="16" t="s">
        <v>90</v>
      </c>
      <c r="E15" s="16" t="s">
        <v>26</v>
      </c>
      <c r="F15" s="16" t="s">
        <v>27</v>
      </c>
      <c r="G15" s="16" t="s">
        <v>28</v>
      </c>
      <c r="H15" s="16" t="s">
        <v>91</v>
      </c>
      <c r="I15" s="16" t="s">
        <v>75</v>
      </c>
      <c r="J15" s="16" t="s">
        <v>31</v>
      </c>
      <c r="K15" s="16" t="s">
        <v>32</v>
      </c>
      <c r="L15" s="17">
        <v>46167.7763888889</v>
      </c>
      <c r="M15" s="17">
        <v>46169.38125</v>
      </c>
      <c r="N15" s="17">
        <v>46169.7756944444</v>
      </c>
      <c r="O15" s="16" t="s">
        <v>61</v>
      </c>
      <c r="P15" s="16" t="s">
        <v>34</v>
      </c>
      <c r="Q15" s="16" t="s">
        <v>35</v>
      </c>
      <c r="R15" s="16" t="s">
        <v>36</v>
      </c>
      <c r="S15" s="16">
        <v>1</v>
      </c>
      <c r="T15" s="16" t="s">
        <v>77</v>
      </c>
      <c r="U15" s="16" t="s">
        <v>45</v>
      </c>
      <c r="V15" s="18">
        <v>1.6</v>
      </c>
      <c r="W15" s="19">
        <v>2</v>
      </c>
      <c r="X15" s="20"/>
      <c r="Y15" s="20"/>
      <c r="Z15" s="20"/>
      <c r="AA15" s="20"/>
      <c r="AB15" s="20"/>
      <c r="AC15" s="20"/>
      <c r="AD15" s="20"/>
      <c r="AE15" s="20"/>
      <c r="AF15" s="20"/>
    </row>
    <row r="16" ht="15" hidden="1" spans="1:32">
      <c r="A16" s="10" t="s">
        <v>22</v>
      </c>
      <c r="B16" s="10" t="s">
        <v>23</v>
      </c>
      <c r="C16" s="15" t="s">
        <v>47</v>
      </c>
      <c r="D16" s="16" t="s">
        <v>92</v>
      </c>
      <c r="E16" s="16" t="s">
        <v>26</v>
      </c>
      <c r="F16" s="16" t="s">
        <v>27</v>
      </c>
      <c r="G16" s="16" t="s">
        <v>28</v>
      </c>
      <c r="H16" s="16" t="s">
        <v>93</v>
      </c>
      <c r="I16" s="16" t="s">
        <v>30</v>
      </c>
      <c r="J16" s="16" t="s">
        <v>31</v>
      </c>
      <c r="K16" s="16" t="s">
        <v>43</v>
      </c>
      <c r="L16" s="17">
        <v>46167.8798611111</v>
      </c>
      <c r="M16" s="17">
        <v>46169.46875</v>
      </c>
      <c r="N16" s="17">
        <v>46169.7701388889</v>
      </c>
      <c r="O16" s="16" t="s">
        <v>33</v>
      </c>
      <c r="P16" s="16" t="s">
        <v>34</v>
      </c>
      <c r="Q16" s="16" t="s">
        <v>50</v>
      </c>
      <c r="R16" s="16" t="s">
        <v>36</v>
      </c>
      <c r="S16" s="16">
        <v>0</v>
      </c>
      <c r="T16" s="16" t="s">
        <v>37</v>
      </c>
      <c r="U16" s="16" t="s">
        <v>51</v>
      </c>
      <c r="V16" s="18">
        <v>1.59</v>
      </c>
      <c r="W16" s="19">
        <v>1.89</v>
      </c>
      <c r="X16" s="20"/>
      <c r="Y16" s="20"/>
      <c r="Z16" s="20"/>
      <c r="AA16" s="20"/>
      <c r="AB16" s="20"/>
      <c r="AC16" s="20"/>
      <c r="AD16" s="20"/>
      <c r="AE16" s="20"/>
      <c r="AF16" s="20"/>
    </row>
    <row r="17" ht="15" hidden="1" spans="1:32">
      <c r="A17" s="10" t="s">
        <v>22</v>
      </c>
      <c r="B17" s="10" t="s">
        <v>23</v>
      </c>
      <c r="C17" s="15" t="s">
        <v>47</v>
      </c>
      <c r="D17" s="16" t="s">
        <v>94</v>
      </c>
      <c r="E17" s="16" t="s">
        <v>26</v>
      </c>
      <c r="F17" s="16" t="s">
        <v>27</v>
      </c>
      <c r="G17" s="16" t="s">
        <v>28</v>
      </c>
      <c r="H17" s="16" t="s">
        <v>95</v>
      </c>
      <c r="I17" s="16" t="s">
        <v>30</v>
      </c>
      <c r="J17" s="16" t="s">
        <v>31</v>
      </c>
      <c r="K17" s="16" t="s">
        <v>32</v>
      </c>
      <c r="L17" s="17">
        <v>46167.8791666667</v>
      </c>
      <c r="M17" s="17">
        <v>46168.3909722222</v>
      </c>
      <c r="N17" s="17">
        <v>46168.8798611111</v>
      </c>
      <c r="O17" s="16" t="s">
        <v>33</v>
      </c>
      <c r="P17" s="16" t="s">
        <v>34</v>
      </c>
      <c r="Q17" s="16" t="s">
        <v>57</v>
      </c>
      <c r="R17" s="16" t="s">
        <v>36</v>
      </c>
      <c r="S17" s="16">
        <v>0</v>
      </c>
      <c r="T17" s="16" t="s">
        <v>44</v>
      </c>
      <c r="U17" s="16" t="s">
        <v>45</v>
      </c>
      <c r="V17" s="18">
        <v>0.51</v>
      </c>
      <c r="W17" s="19">
        <v>1</v>
      </c>
      <c r="X17" s="20"/>
      <c r="Y17" s="20"/>
      <c r="Z17" s="20"/>
      <c r="AA17" s="20"/>
      <c r="AB17" s="20"/>
      <c r="AC17" s="20"/>
      <c r="AD17" s="20"/>
      <c r="AE17" s="20"/>
      <c r="AF17" s="20"/>
    </row>
    <row r="18" ht="15" hidden="1" spans="1:32">
      <c r="A18" s="10" t="s">
        <v>22</v>
      </c>
      <c r="B18" s="10" t="s">
        <v>23</v>
      </c>
      <c r="C18" s="15" t="s">
        <v>24</v>
      </c>
      <c r="D18" s="16" t="s">
        <v>96</v>
      </c>
      <c r="E18" s="16" t="s">
        <v>26</v>
      </c>
      <c r="F18" s="16" t="s">
        <v>27</v>
      </c>
      <c r="G18" s="16" t="s">
        <v>28</v>
      </c>
      <c r="H18" s="16" t="s">
        <v>97</v>
      </c>
      <c r="I18" s="16" t="s">
        <v>30</v>
      </c>
      <c r="J18" s="16" t="s">
        <v>31</v>
      </c>
      <c r="K18" s="16" t="s">
        <v>43</v>
      </c>
      <c r="L18" s="17">
        <v>46169.7548611111</v>
      </c>
      <c r="M18" s="17">
        <v>46169.7923611111</v>
      </c>
      <c r="N18" s="17">
        <v>46171.3680555556</v>
      </c>
      <c r="O18" s="16" t="s">
        <v>56</v>
      </c>
      <c r="P18" s="16" t="s">
        <v>34</v>
      </c>
      <c r="Q18" s="16" t="s">
        <v>50</v>
      </c>
      <c r="R18" s="16" t="s">
        <v>36</v>
      </c>
      <c r="S18" s="16">
        <v>0</v>
      </c>
      <c r="T18" s="16" t="s">
        <v>37</v>
      </c>
      <c r="U18" s="16" t="s">
        <v>45</v>
      </c>
      <c r="V18" s="18">
        <v>0.04</v>
      </c>
      <c r="W18" s="19">
        <v>1.61</v>
      </c>
      <c r="X18" s="20"/>
      <c r="Y18" s="20"/>
      <c r="Z18" s="20"/>
      <c r="AA18" s="20"/>
      <c r="AB18" s="20"/>
      <c r="AC18" s="20"/>
      <c r="AD18" s="20"/>
      <c r="AE18" s="20"/>
      <c r="AF18" s="20"/>
    </row>
    <row r="19" ht="15" spans="1:32">
      <c r="A19" s="10" t="s">
        <v>22</v>
      </c>
      <c r="B19" s="10" t="s">
        <v>23</v>
      </c>
      <c r="C19" s="15" t="s">
        <v>52</v>
      </c>
      <c r="D19" s="16" t="s">
        <v>98</v>
      </c>
      <c r="E19" s="16" t="s">
        <v>26</v>
      </c>
      <c r="F19" s="16" t="s">
        <v>27</v>
      </c>
      <c r="G19" s="16" t="s">
        <v>64</v>
      </c>
      <c r="H19" s="16" t="s">
        <v>99</v>
      </c>
      <c r="I19" s="16" t="s">
        <v>30</v>
      </c>
      <c r="J19" s="16" t="s">
        <v>31</v>
      </c>
      <c r="K19" s="16" t="s">
        <v>76</v>
      </c>
      <c r="L19" s="17">
        <v>46169.7638888889</v>
      </c>
      <c r="M19" s="22">
        <v>46171.7106828704</v>
      </c>
      <c r="N19" s="21"/>
      <c r="O19" s="16" t="s">
        <v>33</v>
      </c>
      <c r="P19" s="16" t="s">
        <v>34</v>
      </c>
      <c r="Q19" s="16" t="s">
        <v>100</v>
      </c>
      <c r="R19" s="16" t="s">
        <v>36</v>
      </c>
      <c r="S19" s="16">
        <v>1</v>
      </c>
      <c r="T19" s="16" t="s">
        <v>37</v>
      </c>
      <c r="U19" s="16" t="s">
        <v>51</v>
      </c>
      <c r="V19" s="18">
        <v>1.95</v>
      </c>
      <c r="W19" s="16" t="s">
        <v>46</v>
      </c>
      <c r="X19" s="20"/>
      <c r="Y19" s="20"/>
      <c r="Z19" s="20"/>
      <c r="AA19" s="20"/>
      <c r="AB19" s="20"/>
      <c r="AC19" s="20"/>
      <c r="AD19" s="20"/>
      <c r="AE19" s="20"/>
      <c r="AF19" s="20"/>
    </row>
  </sheetData>
  <autoFilter xmlns:etc="http://www.wps.cn/officeDocument/2017/etCustomData" ref="A1:AF19" etc:filterBottomFollowUsedRange="0">
    <filterColumn colId="6">
      <filters>
        <filter val="New"/>
        <filter val="ReOpen"/>
      </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workbookViewId="0">
      <selection activeCell="H7" sqref="H7"/>
    </sheetView>
  </sheetViews>
  <sheetFormatPr defaultColWidth="9" defaultRowHeight="14" outlineLevelRow="6"/>
  <cols>
    <col min="2" max="2" width="22.4545454545455" customWidth="1"/>
    <col min="3" max="3" width="13.7272727272727" customWidth="1"/>
    <col min="4" max="4" width="15.4545454545455" customWidth="1"/>
    <col min="5" max="5" width="17" customWidth="1"/>
  </cols>
  <sheetData>
    <row r="1" spans="1:14">
      <c r="A1" s="4" t="s">
        <v>101</v>
      </c>
      <c r="B1" s="4" t="s">
        <v>102</v>
      </c>
      <c r="C1" s="4" t="s">
        <v>1</v>
      </c>
      <c r="D1" s="4" t="s">
        <v>103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110</v>
      </c>
      <c r="L1" s="4" t="s">
        <v>111</v>
      </c>
      <c r="M1" s="4" t="s">
        <v>112</v>
      </c>
      <c r="N1" s="5" t="s">
        <v>113</v>
      </c>
    </row>
    <row r="2" spans="1:14">
      <c r="A2" s="6">
        <v>1</v>
      </c>
      <c r="B2" s="4" t="s">
        <v>22</v>
      </c>
      <c r="C2" s="4" t="s">
        <v>23</v>
      </c>
      <c r="D2" s="4" t="s">
        <v>47</v>
      </c>
      <c r="E2" s="7">
        <v>35</v>
      </c>
      <c r="F2" s="8">
        <v>1</v>
      </c>
      <c r="G2" s="8">
        <v>0.8</v>
      </c>
      <c r="H2" s="7">
        <v>4</v>
      </c>
      <c r="I2" s="7">
        <v>0</v>
      </c>
      <c r="J2" s="7">
        <v>0</v>
      </c>
      <c r="K2" s="7">
        <v>0</v>
      </c>
      <c r="L2" s="7">
        <v>4</v>
      </c>
      <c r="M2" s="7">
        <v>0</v>
      </c>
      <c r="N2" s="9" t="s">
        <v>114</v>
      </c>
    </row>
    <row r="3" spans="1:14">
      <c r="A3" s="6">
        <v>2</v>
      </c>
      <c r="B3" s="4" t="s">
        <v>22</v>
      </c>
      <c r="C3" s="4" t="s">
        <v>23</v>
      </c>
      <c r="D3" s="4" t="s">
        <v>39</v>
      </c>
      <c r="E3" s="7">
        <v>4</v>
      </c>
      <c r="F3" s="8">
        <v>1</v>
      </c>
      <c r="G3" s="8">
        <v>0.8</v>
      </c>
      <c r="H3" s="7">
        <v>6</v>
      </c>
      <c r="I3" s="7">
        <v>2</v>
      </c>
      <c r="J3" s="7">
        <v>0</v>
      </c>
      <c r="K3" s="7">
        <v>0</v>
      </c>
      <c r="L3" s="7">
        <v>3</v>
      </c>
      <c r="M3" s="7">
        <v>1</v>
      </c>
      <c r="N3" s="9" t="s">
        <v>115</v>
      </c>
    </row>
    <row r="4" spans="1:14">
      <c r="A4" s="6">
        <v>3</v>
      </c>
      <c r="B4" s="4" t="s">
        <v>22</v>
      </c>
      <c r="C4" s="4" t="s">
        <v>23</v>
      </c>
      <c r="D4" s="4" t="s">
        <v>116</v>
      </c>
      <c r="E4" s="10">
        <v>2</v>
      </c>
      <c r="F4" s="11">
        <v>1</v>
      </c>
      <c r="G4" s="11">
        <v>1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10"/>
    </row>
    <row r="5" spans="1:14">
      <c r="A5" s="6">
        <v>4</v>
      </c>
      <c r="B5" s="4" t="s">
        <v>22</v>
      </c>
      <c r="C5" s="4" t="s">
        <v>23</v>
      </c>
      <c r="D5" s="4" t="s">
        <v>24</v>
      </c>
      <c r="E5" s="7">
        <v>18</v>
      </c>
      <c r="F5" s="8">
        <v>1</v>
      </c>
      <c r="G5" s="8">
        <v>1</v>
      </c>
      <c r="H5" s="7">
        <v>2</v>
      </c>
      <c r="I5" s="7">
        <v>0</v>
      </c>
      <c r="J5" s="7">
        <v>0</v>
      </c>
      <c r="K5" s="7">
        <v>0</v>
      </c>
      <c r="L5" s="7">
        <v>2</v>
      </c>
      <c r="M5" s="7">
        <v>0</v>
      </c>
      <c r="N5" s="9" t="s">
        <v>117</v>
      </c>
    </row>
    <row r="6" spans="1:14">
      <c r="A6" s="6">
        <v>5</v>
      </c>
      <c r="B6" s="4" t="s">
        <v>22</v>
      </c>
      <c r="C6" s="4" t="s">
        <v>23</v>
      </c>
      <c r="D6" s="4" t="s">
        <v>52</v>
      </c>
      <c r="E6" s="7" t="s">
        <v>46</v>
      </c>
      <c r="F6" s="8" t="s">
        <v>46</v>
      </c>
      <c r="G6" s="8" t="s">
        <v>46</v>
      </c>
      <c r="H6" s="7">
        <v>6</v>
      </c>
      <c r="I6" s="7">
        <v>1</v>
      </c>
      <c r="J6" s="7">
        <v>0</v>
      </c>
      <c r="K6" s="7">
        <v>0</v>
      </c>
      <c r="L6" s="7">
        <v>4</v>
      </c>
      <c r="M6" s="7">
        <v>1</v>
      </c>
      <c r="N6" s="9"/>
    </row>
    <row r="7" spans="1:14">
      <c r="A7" s="4" t="s">
        <v>118</v>
      </c>
      <c r="B7" s="4" t="s">
        <v>22</v>
      </c>
      <c r="C7" s="4" t="s">
        <v>23</v>
      </c>
      <c r="D7" s="4" t="s">
        <v>46</v>
      </c>
      <c r="E7" s="4">
        <v>59</v>
      </c>
      <c r="F7" s="12">
        <v>1</v>
      </c>
      <c r="G7" s="12">
        <f>AVERAGE(G2:G6)</f>
        <v>0.9</v>
      </c>
      <c r="H7" s="4">
        <v>18</v>
      </c>
      <c r="I7" s="4">
        <v>3</v>
      </c>
      <c r="J7" s="4">
        <v>0</v>
      </c>
      <c r="K7" s="4">
        <v>0</v>
      </c>
      <c r="L7" s="4">
        <v>13</v>
      </c>
      <c r="M7" s="4">
        <v>2</v>
      </c>
      <c r="N7" s="9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"/>
  <sheetViews>
    <sheetView workbookViewId="0">
      <selection activeCell="B4" sqref="B4"/>
    </sheetView>
  </sheetViews>
  <sheetFormatPr defaultColWidth="9" defaultRowHeight="14"/>
  <cols>
    <col min="1" max="1" width="28.2727272727273" customWidth="1"/>
    <col min="2" max="2" width="167.090909090909" customWidth="1"/>
    <col min="3" max="3" width="45.6363636363636" customWidth="1"/>
  </cols>
  <sheetData>
    <row r="1" spans="1:2">
      <c r="A1" t="s">
        <v>119</v>
      </c>
      <c r="B1" t="s">
        <v>120</v>
      </c>
    </row>
    <row r="2" ht="28" spans="1:2">
      <c r="A2" t="s">
        <v>121</v>
      </c>
      <c r="B2" s="1" t="s">
        <v>122</v>
      </c>
    </row>
    <row r="3" customFormat="1" spans="1:2">
      <c r="A3" t="s">
        <v>123</v>
      </c>
    </row>
    <row r="4" ht="409" customHeight="1" spans="1:2">
      <c r="A4" t="s">
        <v>124</v>
      </c>
      <c r="B4" s="1" t="s">
        <v>125</v>
      </c>
    </row>
    <row r="5" ht="409.5" spans="1:2">
      <c r="A5" t="s">
        <v>126</v>
      </c>
      <c r="B5" s="1" t="s">
        <v>127</v>
      </c>
    </row>
    <row r="6" spans="1:2">
      <c r="A6" t="s">
        <v>128</v>
      </c>
      <c r="B6" s="2" t="s">
        <v>129</v>
      </c>
    </row>
    <row r="23" spans="1:1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邱钰洁</dc:creator>
  <cp:lastModifiedBy>-</cp:lastModifiedBy>
  <dcterms:created xsi:type="dcterms:W3CDTF">2023-05-12T11:15:00Z</dcterms:created>
  <dcterms:modified xsi:type="dcterms:W3CDTF">2026-05-31T14:24:52Z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963CCFC82BB44DE8B51A77BCD4632E35_12</vt:lpwstr>
  </property>
  <property fmtid="{D5CDD505-2E9C-101B-9397-08002B2CF9AE}" pid="4" name="CalculationRule">
    <vt:i4>0</vt:i4>
  </property>
</Properties>
</file>